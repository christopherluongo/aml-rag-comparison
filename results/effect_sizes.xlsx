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hristopher\Desktop\Máster PLN La Rioja\03 - TFM\99 - Artículo científico derivado del TFM\20 - Repositorio\"/>
    </mc:Choice>
  </mc:AlternateContent>
  <xr:revisionPtr revIDLastSave="0" documentId="13_ncr:1_{440225FA-29A0-419C-89C4-A342276680F2}" xr6:coauthVersionLast="47" xr6:coauthVersionMax="47" xr10:uidLastSave="{00000000-0000-0000-0000-000000000000}"/>
  <bookViews>
    <workbookView xWindow="-110" yWindow="-110" windowWidth="34620" windowHeight="13900" xr2:uid="{00000000-000D-0000-FFFF-FFFF00000000}"/>
  </bookViews>
  <sheets>
    <sheet name="Tabla APA 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1" i="1" l="1"/>
  <c r="J26" i="1"/>
</calcChain>
</file>

<file path=xl/sharedStrings.xml><?xml version="1.0" encoding="utf-8"?>
<sst xmlns="http://schemas.openxmlformats.org/spreadsheetml/2006/main" count="102" uniqueCount="27">
  <si>
    <t>n</t>
  </si>
  <si>
    <t>t</t>
  </si>
  <si>
    <t>p</t>
  </si>
  <si>
    <t>Trivial</t>
  </si>
  <si>
    <t>Question type</t>
  </si>
  <si>
    <t>Metric</t>
  </si>
  <si>
    <t>Vector RAG mean</t>
  </si>
  <si>
    <t>Vector RAG SD</t>
  </si>
  <si>
    <t>Graph-augmented RAG mean</t>
  </si>
  <si>
    <t>Graph-augmented RAG SD</t>
  </si>
  <si>
    <t>Cohen's dz</t>
  </si>
  <si>
    <t>Effect size interpretation</t>
  </si>
  <si>
    <t>1. Factual / definitional</t>
  </si>
  <si>
    <t>2. Relational / explanatory</t>
  </si>
  <si>
    <t>3. Comparative</t>
  </si>
  <si>
    <t>4. Procedural / synthesis</t>
  </si>
  <si>
    <t>5. Applied / analytical</t>
  </si>
  <si>
    <t>1. Context relevance</t>
  </si>
  <si>
    <t>2. Answer relevance</t>
  </si>
  <si>
    <t>3. Faithfulness</t>
  </si>
  <si>
    <t>4. Automatic mean</t>
  </si>
  <si>
    <t>5. Human assessment (retrieval)</t>
  </si>
  <si>
    <t>6. Expert assessment (generation)</t>
  </si>
  <si>
    <t>Small</t>
  </si>
  <si>
    <t>Moderate</t>
  </si>
  <si>
    <t>Large</t>
  </si>
  <si>
    <t>Mean difference (V - 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</si>
</sst>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80808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164" fontId="1" fillId="0" borderId="0" xfId="0" applyNumberFormat="1" applyFont="1"/>
    <xf numFmtId="0" fontId="0" fillId="3" borderId="0" xfId="0" applyFill="1"/>
    <xf numFmtId="164" fontId="0" fillId="3" borderId="0" xfId="0" applyNumberFormat="1" applyFill="1"/>
    <xf numFmtId="164" fontId="1" fillId="3" borderId="0" xfId="0" applyNumberFormat="1" applyFont="1" applyFill="1"/>
    <xf numFmtId="0" fontId="0" fillId="4" borderId="0" xfId="0" applyFill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zoomScale="90" zoomScaleNormal="90" workbookViewId="0">
      <selection activeCell="P7" sqref="P7"/>
    </sheetView>
  </sheetViews>
  <sheetFormatPr baseColWidth="10" defaultColWidth="9.1796875" defaultRowHeight="14.5" x14ac:dyDescent="0.35"/>
  <cols>
    <col min="1" max="1" width="28" customWidth="1"/>
    <col min="2" max="2" width="34" customWidth="1"/>
    <col min="3" max="3" width="6" customWidth="1"/>
    <col min="4" max="5" width="10" customWidth="1"/>
    <col min="6" max="6" width="12.08984375" customWidth="1"/>
    <col min="7" max="7" width="11.36328125" customWidth="1"/>
    <col min="8" max="8" width="11" customWidth="1"/>
    <col min="9" max="9" width="7.81640625" customWidth="1"/>
    <col min="10" max="10" width="5.453125" customWidth="1"/>
    <col min="11" max="11" width="10" customWidth="1"/>
    <col min="12" max="12" width="13.36328125" customWidth="1"/>
  </cols>
  <sheetData>
    <row r="1" spans="1:12" ht="43.5" x14ac:dyDescent="0.35">
      <c r="A1" s="1" t="s">
        <v>4</v>
      </c>
      <c r="B1" s="1" t="s">
        <v>5</v>
      </c>
      <c r="C1" s="1" t="s">
        <v>0</v>
      </c>
      <c r="D1" s="1" t="s">
        <v>6</v>
      </c>
      <c r="E1" s="1" t="s">
        <v>7</v>
      </c>
      <c r="F1" s="1" t="s">
        <v>8</v>
      </c>
      <c r="G1" s="1" t="s">
        <v>9</v>
      </c>
      <c r="H1" s="9" t="s">
        <v>26</v>
      </c>
      <c r="I1" s="8" t="s">
        <v>1</v>
      </c>
      <c r="J1" s="8" t="s">
        <v>2</v>
      </c>
      <c r="K1" s="1" t="s">
        <v>10</v>
      </c>
      <c r="L1" s="9" t="s">
        <v>11</v>
      </c>
    </row>
    <row r="2" spans="1:12" x14ac:dyDescent="0.35">
      <c r="A2" s="4" t="s">
        <v>12</v>
      </c>
      <c r="B2" s="4" t="s">
        <v>17</v>
      </c>
      <c r="C2" s="4">
        <v>6</v>
      </c>
      <c r="D2" s="5">
        <v>0.81666666666666665</v>
      </c>
      <c r="E2" s="5">
        <v>0.30605010483034739</v>
      </c>
      <c r="F2" s="5">
        <v>0.8833333333333333</v>
      </c>
      <c r="G2" s="5">
        <v>7.5277265270908084E-2</v>
      </c>
      <c r="H2" s="5">
        <v>-6.6666666666666693E-2</v>
      </c>
      <c r="I2" s="5"/>
      <c r="J2" s="6"/>
      <c r="K2" s="5">
        <v>-0.25078493128775958</v>
      </c>
      <c r="L2" s="4" t="s">
        <v>23</v>
      </c>
    </row>
    <row r="3" spans="1:12" x14ac:dyDescent="0.35">
      <c r="A3" s="4" t="s">
        <v>13</v>
      </c>
      <c r="B3" s="4" t="s">
        <v>17</v>
      </c>
      <c r="C3" s="4">
        <v>6</v>
      </c>
      <c r="D3" s="5">
        <v>0.9</v>
      </c>
      <c r="E3" s="5">
        <v>0</v>
      </c>
      <c r="F3" s="5">
        <v>0.8833333333333333</v>
      </c>
      <c r="G3" s="5">
        <v>4.0824829046386291E-2</v>
      </c>
      <c r="H3" s="5">
        <v>1.6666666666666659E-2</v>
      </c>
      <c r="I3" s="5"/>
      <c r="J3" s="6"/>
      <c r="K3" s="5">
        <v>0.40824829046386302</v>
      </c>
      <c r="L3" s="4" t="s">
        <v>23</v>
      </c>
    </row>
    <row r="4" spans="1:12" x14ac:dyDescent="0.35">
      <c r="A4" s="4" t="s">
        <v>14</v>
      </c>
      <c r="B4" s="4" t="s">
        <v>17</v>
      </c>
      <c r="C4" s="4">
        <v>4</v>
      </c>
      <c r="D4" s="5">
        <v>0.65</v>
      </c>
      <c r="E4" s="5">
        <v>0.33166247903554003</v>
      </c>
      <c r="F4" s="5">
        <v>0.875</v>
      </c>
      <c r="G4" s="5">
        <v>4.9999999999999989E-2</v>
      </c>
      <c r="H4" s="5">
        <v>-0.22500000000000001</v>
      </c>
      <c r="I4" s="5"/>
      <c r="J4" s="6"/>
      <c r="K4" s="5">
        <v>-0.68098491761217972</v>
      </c>
      <c r="L4" s="4" t="s">
        <v>24</v>
      </c>
    </row>
    <row r="5" spans="1:12" x14ac:dyDescent="0.35">
      <c r="A5" s="4" t="s">
        <v>15</v>
      </c>
      <c r="B5" s="4" t="s">
        <v>17</v>
      </c>
      <c r="C5" s="4">
        <v>4</v>
      </c>
      <c r="D5" s="5">
        <v>0.72499999999999998</v>
      </c>
      <c r="E5" s="5">
        <v>0.35</v>
      </c>
      <c r="F5" s="5">
        <v>0.9</v>
      </c>
      <c r="G5" s="5">
        <v>8.1649658092772581E-2</v>
      </c>
      <c r="H5" s="5">
        <v>-0.17499999999999999</v>
      </c>
      <c r="I5" s="5"/>
      <c r="J5" s="6"/>
      <c r="K5" s="5">
        <v>-0.48692584054817672</v>
      </c>
      <c r="L5" s="4" t="s">
        <v>23</v>
      </c>
    </row>
    <row r="6" spans="1:12" x14ac:dyDescent="0.35">
      <c r="A6" s="4" t="s">
        <v>16</v>
      </c>
      <c r="B6" s="4" t="s">
        <v>17</v>
      </c>
      <c r="C6" s="4">
        <v>10</v>
      </c>
      <c r="D6" s="5">
        <v>0.89</v>
      </c>
      <c r="E6" s="5">
        <v>3.1622776601683777E-2</v>
      </c>
      <c r="F6" s="5">
        <v>0.88</v>
      </c>
      <c r="G6" s="5">
        <v>4.2163702135578379E-2</v>
      </c>
      <c r="H6" s="5">
        <v>9.9999999999999985E-3</v>
      </c>
      <c r="I6" s="5"/>
      <c r="J6" s="6"/>
      <c r="K6" s="5">
        <v>0.17616606585441111</v>
      </c>
      <c r="L6" s="4" t="s">
        <v>3</v>
      </c>
    </row>
    <row r="7" spans="1:12" x14ac:dyDescent="0.35">
      <c r="A7" t="s">
        <v>12</v>
      </c>
      <c r="B7" t="s">
        <v>18</v>
      </c>
      <c r="C7">
        <v>6</v>
      </c>
      <c r="D7" s="2">
        <v>0.8</v>
      </c>
      <c r="E7" s="2">
        <v>0.4</v>
      </c>
      <c r="F7" s="2">
        <v>0.68333333333333335</v>
      </c>
      <c r="G7" s="2">
        <v>0.25625508125043428</v>
      </c>
      <c r="H7" s="2">
        <v>0.1166666666666667</v>
      </c>
      <c r="I7" s="2"/>
      <c r="J7" s="3"/>
      <c r="K7" s="2">
        <v>0.72821908125441903</v>
      </c>
      <c r="L7" t="s">
        <v>24</v>
      </c>
    </row>
    <row r="8" spans="1:12" x14ac:dyDescent="0.35">
      <c r="A8" t="s">
        <v>13</v>
      </c>
      <c r="B8" t="s">
        <v>18</v>
      </c>
      <c r="C8">
        <v>6</v>
      </c>
      <c r="D8" s="2">
        <v>0.70000000000000007</v>
      </c>
      <c r="E8" s="2">
        <v>0.2449489742783178</v>
      </c>
      <c r="F8" s="2">
        <v>0.78333333333333333</v>
      </c>
      <c r="G8" s="2">
        <v>4.0824829046386339E-2</v>
      </c>
      <c r="H8" s="2">
        <v>-8.3333333333333329E-2</v>
      </c>
      <c r="I8" s="2"/>
      <c r="J8" s="3"/>
      <c r="K8" s="2">
        <v>-0.32519680361730219</v>
      </c>
      <c r="L8" t="s">
        <v>23</v>
      </c>
    </row>
    <row r="9" spans="1:12" x14ac:dyDescent="0.35">
      <c r="A9" t="s">
        <v>14</v>
      </c>
      <c r="B9" t="s">
        <v>18</v>
      </c>
      <c r="C9">
        <v>4</v>
      </c>
      <c r="D9" s="2">
        <v>0.5</v>
      </c>
      <c r="E9" s="2">
        <v>0.38297084310253532</v>
      </c>
      <c r="F9" s="2">
        <v>0.75</v>
      </c>
      <c r="G9" s="2">
        <v>0.1</v>
      </c>
      <c r="H9" s="2">
        <v>-0.25</v>
      </c>
      <c r="I9" s="2"/>
      <c r="J9" s="3"/>
      <c r="K9" s="2">
        <v>-0.66033817974421782</v>
      </c>
      <c r="L9" t="s">
        <v>24</v>
      </c>
    </row>
    <row r="10" spans="1:12" x14ac:dyDescent="0.35">
      <c r="A10" t="s">
        <v>15</v>
      </c>
      <c r="B10" t="s">
        <v>18</v>
      </c>
      <c r="C10">
        <v>4</v>
      </c>
      <c r="D10" s="2">
        <v>0.625</v>
      </c>
      <c r="E10" s="2">
        <v>0.35</v>
      </c>
      <c r="F10" s="2">
        <v>0.77500000000000002</v>
      </c>
      <c r="G10" s="2">
        <v>0.12583057392117919</v>
      </c>
      <c r="H10" s="2">
        <v>-0.15</v>
      </c>
      <c r="I10" s="2"/>
      <c r="J10" s="3"/>
      <c r="K10" s="2">
        <v>-0.38729833462074159</v>
      </c>
      <c r="L10" t="s">
        <v>23</v>
      </c>
    </row>
    <row r="11" spans="1:12" x14ac:dyDescent="0.35">
      <c r="A11" t="s">
        <v>16</v>
      </c>
      <c r="B11" t="s">
        <v>18</v>
      </c>
      <c r="C11">
        <v>10</v>
      </c>
      <c r="D11" s="2">
        <v>0.68</v>
      </c>
      <c r="E11" s="2">
        <v>0.1932183566158592</v>
      </c>
      <c r="F11" s="2">
        <v>0.77</v>
      </c>
      <c r="G11" s="2">
        <v>6.7494855771055323E-2</v>
      </c>
      <c r="H11" s="2">
        <v>-0.09</v>
      </c>
      <c r="I11" s="2"/>
      <c r="J11" s="3"/>
      <c r="K11" s="2">
        <v>-0.40294019628443267</v>
      </c>
      <c r="L11" t="s">
        <v>23</v>
      </c>
    </row>
    <row r="12" spans="1:12" x14ac:dyDescent="0.35">
      <c r="A12" s="4" t="s">
        <v>12</v>
      </c>
      <c r="B12" s="4" t="s">
        <v>19</v>
      </c>
      <c r="C12" s="4">
        <v>6</v>
      </c>
      <c r="D12" s="5">
        <v>0.78333333333333333</v>
      </c>
      <c r="E12" s="5">
        <v>0.40207793606049402</v>
      </c>
      <c r="F12" s="5">
        <v>0.7</v>
      </c>
      <c r="G12" s="5">
        <v>6.324555320336761E-2</v>
      </c>
      <c r="H12" s="5">
        <v>8.3333333333333356E-2</v>
      </c>
      <c r="I12" s="5"/>
      <c r="J12" s="6"/>
      <c r="K12" s="5">
        <v>0.23507622406976869</v>
      </c>
      <c r="L12" s="4" t="s">
        <v>23</v>
      </c>
    </row>
    <row r="13" spans="1:12" x14ac:dyDescent="0.35">
      <c r="A13" s="4" t="s">
        <v>13</v>
      </c>
      <c r="B13" s="4" t="s">
        <v>19</v>
      </c>
      <c r="C13" s="4">
        <v>6</v>
      </c>
      <c r="D13" s="5">
        <v>0.8666666666666667</v>
      </c>
      <c r="E13" s="5">
        <v>0.10327955589886451</v>
      </c>
      <c r="F13" s="5">
        <v>0.73333333333333328</v>
      </c>
      <c r="G13" s="5">
        <v>8.1649658092772637E-2</v>
      </c>
      <c r="H13" s="5">
        <v>0.13333333333333339</v>
      </c>
      <c r="I13" s="5"/>
      <c r="J13" s="6"/>
      <c r="K13" s="5">
        <v>0.76138698762688106</v>
      </c>
      <c r="L13" s="4" t="s">
        <v>24</v>
      </c>
    </row>
    <row r="14" spans="1:12" x14ac:dyDescent="0.35">
      <c r="A14" s="4" t="s">
        <v>14</v>
      </c>
      <c r="B14" s="4" t="s">
        <v>19</v>
      </c>
      <c r="C14" s="4">
        <v>4</v>
      </c>
      <c r="D14" s="5">
        <v>0.52499999999999991</v>
      </c>
      <c r="E14" s="5">
        <v>0.35</v>
      </c>
      <c r="F14" s="5">
        <v>0.67500000000000004</v>
      </c>
      <c r="G14" s="5">
        <v>0.20615528128088301</v>
      </c>
      <c r="H14" s="5">
        <v>-0.15</v>
      </c>
      <c r="I14" s="5"/>
      <c r="J14" s="6"/>
      <c r="K14" s="5">
        <v>-0.35687321357316493</v>
      </c>
      <c r="L14" s="4" t="s">
        <v>23</v>
      </c>
    </row>
    <row r="15" spans="1:12" x14ac:dyDescent="0.35">
      <c r="A15" s="4" t="s">
        <v>15</v>
      </c>
      <c r="B15" s="4" t="s">
        <v>19</v>
      </c>
      <c r="C15" s="4">
        <v>4</v>
      </c>
      <c r="D15" s="5">
        <v>0.65</v>
      </c>
      <c r="E15" s="5">
        <v>0.25166114784235832</v>
      </c>
      <c r="F15" s="5">
        <v>0.72499999999999998</v>
      </c>
      <c r="G15" s="5">
        <v>5.0000000000000037E-2</v>
      </c>
      <c r="H15" s="5">
        <v>-7.4999999999999997E-2</v>
      </c>
      <c r="I15" s="5"/>
      <c r="J15" s="6"/>
      <c r="K15" s="5">
        <v>-0.3</v>
      </c>
      <c r="L15" s="4" t="s">
        <v>23</v>
      </c>
    </row>
    <row r="16" spans="1:12" x14ac:dyDescent="0.35">
      <c r="A16" s="4" t="s">
        <v>16</v>
      </c>
      <c r="B16" s="4" t="s">
        <v>19</v>
      </c>
      <c r="C16" s="4">
        <v>10</v>
      </c>
      <c r="D16" s="5">
        <v>0.8</v>
      </c>
      <c r="E16" s="5">
        <v>9.4280904158206363E-2</v>
      </c>
      <c r="F16" s="5">
        <v>0.72</v>
      </c>
      <c r="G16" s="5">
        <v>6.324555320336761E-2</v>
      </c>
      <c r="H16" s="5">
        <v>8.0000000000000043E-2</v>
      </c>
      <c r="I16" s="5"/>
      <c r="J16" s="6"/>
      <c r="K16" s="5">
        <v>0.60764362025020002</v>
      </c>
      <c r="L16" s="4" t="s">
        <v>24</v>
      </c>
    </row>
    <row r="17" spans="1:12" x14ac:dyDescent="0.35">
      <c r="A17" t="s">
        <v>12</v>
      </c>
      <c r="B17" t="s">
        <v>20</v>
      </c>
      <c r="C17">
        <v>6</v>
      </c>
      <c r="D17" s="2">
        <v>0.80016666666666669</v>
      </c>
      <c r="E17" s="2">
        <v>0.36689694284181029</v>
      </c>
      <c r="F17" s="2">
        <v>0.75550000000000006</v>
      </c>
      <c r="G17" s="2">
        <v>0.1260218235068831</v>
      </c>
      <c r="H17" s="2">
        <v>4.4666666666666639E-2</v>
      </c>
      <c r="I17" s="2"/>
      <c r="J17" s="3"/>
      <c r="K17" s="2">
        <v>0.17629534088841459</v>
      </c>
      <c r="L17" t="s">
        <v>3</v>
      </c>
    </row>
    <row r="18" spans="1:12" x14ac:dyDescent="0.35">
      <c r="A18" t="s">
        <v>13</v>
      </c>
      <c r="B18" t="s">
        <v>20</v>
      </c>
      <c r="C18">
        <v>6</v>
      </c>
      <c r="D18" s="2">
        <v>0.82233333333333336</v>
      </c>
      <c r="E18" s="2">
        <v>9.83497161493955E-2</v>
      </c>
      <c r="F18" s="2">
        <v>0.8</v>
      </c>
      <c r="G18" s="2">
        <v>0</v>
      </c>
      <c r="H18" s="2">
        <v>2.2333333333333299E-2</v>
      </c>
      <c r="I18" s="2"/>
      <c r="J18" s="3"/>
      <c r="K18" s="2">
        <v>0.2270808112898714</v>
      </c>
      <c r="L18" t="s">
        <v>23</v>
      </c>
    </row>
    <row r="19" spans="1:12" x14ac:dyDescent="0.35">
      <c r="A19" t="s">
        <v>14</v>
      </c>
      <c r="B19" t="s">
        <v>20</v>
      </c>
      <c r="C19">
        <v>4</v>
      </c>
      <c r="D19" s="2">
        <v>0.5585</v>
      </c>
      <c r="E19" s="2">
        <v>0.34558597579570077</v>
      </c>
      <c r="F19" s="2">
        <v>0.76675000000000004</v>
      </c>
      <c r="G19" s="2">
        <v>0.1155663590035324</v>
      </c>
      <c r="H19" s="2">
        <v>-0.20824999999999999</v>
      </c>
      <c r="I19" s="2"/>
      <c r="J19" s="3"/>
      <c r="K19" s="2">
        <v>-0.59347206052243873</v>
      </c>
      <c r="L19" t="s">
        <v>24</v>
      </c>
    </row>
    <row r="20" spans="1:12" x14ac:dyDescent="0.35">
      <c r="A20" t="s">
        <v>15</v>
      </c>
      <c r="B20" t="s">
        <v>20</v>
      </c>
      <c r="C20">
        <v>4</v>
      </c>
      <c r="D20" s="2">
        <v>0.66675000000000006</v>
      </c>
      <c r="E20" s="2">
        <v>0.31276548722645209</v>
      </c>
      <c r="F20" s="2">
        <v>0.8</v>
      </c>
      <c r="G20" s="2">
        <v>8.1649658092772637E-2</v>
      </c>
      <c r="H20" s="2">
        <v>-0.13325000000000001</v>
      </c>
      <c r="I20" s="2"/>
      <c r="J20" s="3"/>
      <c r="K20" s="2">
        <v>-0.41222289071726398</v>
      </c>
      <c r="L20" t="s">
        <v>23</v>
      </c>
    </row>
    <row r="21" spans="1:12" x14ac:dyDescent="0.35">
      <c r="A21" t="s">
        <v>16</v>
      </c>
      <c r="B21" t="s">
        <v>20</v>
      </c>
      <c r="C21">
        <v>10</v>
      </c>
      <c r="D21" s="2">
        <v>0.79010000000000002</v>
      </c>
      <c r="E21" s="2">
        <v>8.4895294988068165E-2</v>
      </c>
      <c r="F21" s="2">
        <v>0.79</v>
      </c>
      <c r="G21" s="2">
        <v>3.1622776601683819E-2</v>
      </c>
      <c r="H21" s="2">
        <v>9.9999999999966788E-5</v>
      </c>
      <c r="I21" s="2"/>
      <c r="J21" s="3"/>
      <c r="K21" s="2">
        <v>1.089326485863265E-3</v>
      </c>
      <c r="L21" t="s">
        <v>3</v>
      </c>
    </row>
    <row r="22" spans="1:12" x14ac:dyDescent="0.35">
      <c r="A22" s="4" t="s">
        <v>12</v>
      </c>
      <c r="B22" s="4" t="s">
        <v>21</v>
      </c>
      <c r="C22" s="4">
        <v>6</v>
      </c>
      <c r="D22" s="5">
        <v>0.81666666666666665</v>
      </c>
      <c r="E22" s="5">
        <v>0.40207793606049402</v>
      </c>
      <c r="F22" s="5">
        <v>0.8</v>
      </c>
      <c r="G22" s="5">
        <v>0.29664793948382651</v>
      </c>
      <c r="H22" s="5">
        <v>1.6666666666666649E-2</v>
      </c>
      <c r="I22" s="5"/>
      <c r="J22" s="6"/>
      <c r="K22" s="5">
        <v>0.12539246564387971</v>
      </c>
      <c r="L22" s="4" t="s">
        <v>3</v>
      </c>
    </row>
    <row r="23" spans="1:12" x14ac:dyDescent="0.35">
      <c r="A23" s="4" t="s">
        <v>13</v>
      </c>
      <c r="B23" s="4" t="s">
        <v>21</v>
      </c>
      <c r="C23" s="4">
        <v>6</v>
      </c>
      <c r="D23" s="5">
        <v>0.78333333333333333</v>
      </c>
      <c r="E23" s="5">
        <v>0.13291601358251259</v>
      </c>
      <c r="F23" s="5">
        <v>0.95</v>
      </c>
      <c r="G23" s="5">
        <v>8.366600265340754E-2</v>
      </c>
      <c r="H23" s="5">
        <v>-0.16666666666666671</v>
      </c>
      <c r="I23" s="5"/>
      <c r="J23" s="6"/>
      <c r="K23" s="5">
        <v>-0.84757937952601303</v>
      </c>
      <c r="L23" s="7" t="s">
        <v>25</v>
      </c>
    </row>
    <row r="24" spans="1:12" x14ac:dyDescent="0.35">
      <c r="A24" s="4" t="s">
        <v>14</v>
      </c>
      <c r="B24" s="4" t="s">
        <v>21</v>
      </c>
      <c r="C24" s="4">
        <v>4</v>
      </c>
      <c r="D24" s="5">
        <v>0.8</v>
      </c>
      <c r="E24" s="5">
        <v>0.4</v>
      </c>
      <c r="F24" s="5">
        <v>0.95</v>
      </c>
      <c r="G24" s="5">
        <v>9.9999999999999978E-2</v>
      </c>
      <c r="H24" s="5">
        <v>-0.15</v>
      </c>
      <c r="I24" s="5"/>
      <c r="J24" s="6"/>
      <c r="K24" s="5">
        <v>-0.5</v>
      </c>
      <c r="L24" s="7" t="s">
        <v>24</v>
      </c>
    </row>
    <row r="25" spans="1:12" x14ac:dyDescent="0.35">
      <c r="A25" s="4" t="s">
        <v>15</v>
      </c>
      <c r="B25" s="4" t="s">
        <v>21</v>
      </c>
      <c r="C25" s="4">
        <v>4</v>
      </c>
      <c r="D25" s="5">
        <v>0.75</v>
      </c>
      <c r="E25" s="5">
        <v>0.17320508075688781</v>
      </c>
      <c r="F25" s="5">
        <v>0.9</v>
      </c>
      <c r="G25" s="5">
        <v>8.1649658092772581E-2</v>
      </c>
      <c r="H25" s="5">
        <v>-0.15</v>
      </c>
      <c r="I25" s="5"/>
      <c r="J25" s="6"/>
      <c r="K25" s="5">
        <v>-1.1618950038622251</v>
      </c>
      <c r="L25" s="7" t="s">
        <v>25</v>
      </c>
    </row>
    <row r="26" spans="1:12" x14ac:dyDescent="0.35">
      <c r="A26" s="4" t="s">
        <v>16</v>
      </c>
      <c r="B26" s="4" t="s">
        <v>21</v>
      </c>
      <c r="C26" s="4">
        <v>10</v>
      </c>
      <c r="D26" s="5">
        <v>0.7</v>
      </c>
      <c r="E26" s="5">
        <v>0.26246692913372699</v>
      </c>
      <c r="F26" s="5">
        <v>0.93</v>
      </c>
      <c r="G26" s="5">
        <v>8.2327260234856439E-2</v>
      </c>
      <c r="H26" s="5">
        <v>-0.23</v>
      </c>
      <c r="I26" s="5">
        <v>-2.5012480459007271</v>
      </c>
      <c r="J26" s="6">
        <f>0.034</f>
        <v>3.4000000000000002E-2</v>
      </c>
      <c r="K26" s="5">
        <v>-0.79096408180916833</v>
      </c>
      <c r="L26" s="7" t="s">
        <v>24</v>
      </c>
    </row>
    <row r="27" spans="1:12" x14ac:dyDescent="0.35">
      <c r="A27" t="s">
        <v>12</v>
      </c>
      <c r="B27" t="s">
        <v>22</v>
      </c>
      <c r="C27">
        <v>6</v>
      </c>
      <c r="D27" s="2">
        <v>0.58333333333333337</v>
      </c>
      <c r="E27" s="2">
        <v>0.40207793606049402</v>
      </c>
      <c r="F27" s="2">
        <v>0.58333333333333337</v>
      </c>
      <c r="G27" s="2">
        <v>0.35449494589721109</v>
      </c>
      <c r="H27" s="2">
        <v>0</v>
      </c>
      <c r="I27" s="2"/>
      <c r="J27" s="3"/>
      <c r="K27" s="2">
        <v>0</v>
      </c>
      <c r="L27" t="s">
        <v>3</v>
      </c>
    </row>
    <row r="28" spans="1:12" x14ac:dyDescent="0.35">
      <c r="A28" t="s">
        <v>13</v>
      </c>
      <c r="B28" t="s">
        <v>22</v>
      </c>
      <c r="C28">
        <v>6</v>
      </c>
      <c r="D28" s="2">
        <v>0.8</v>
      </c>
      <c r="E28" s="2">
        <v>0.26832815729997478</v>
      </c>
      <c r="F28" s="2">
        <v>0.95</v>
      </c>
      <c r="G28" s="2">
        <v>8.366600265340754E-2</v>
      </c>
      <c r="H28" s="2">
        <v>-0.15</v>
      </c>
      <c r="I28" s="2"/>
      <c r="J28" s="3"/>
      <c r="K28" s="2">
        <v>-0.54772255750516619</v>
      </c>
      <c r="L28" s="7" t="s">
        <v>24</v>
      </c>
    </row>
    <row r="29" spans="1:12" x14ac:dyDescent="0.35">
      <c r="A29" t="s">
        <v>14</v>
      </c>
      <c r="B29" t="s">
        <v>22</v>
      </c>
      <c r="C29">
        <v>4</v>
      </c>
      <c r="D29" s="2">
        <v>0.55000000000000004</v>
      </c>
      <c r="E29" s="2">
        <v>0.40414518843273811</v>
      </c>
      <c r="F29" s="2">
        <v>0.9</v>
      </c>
      <c r="G29" s="2">
        <v>8.1649658092772581E-2</v>
      </c>
      <c r="H29" s="2">
        <v>-0.35</v>
      </c>
      <c r="I29" s="2"/>
      <c r="J29" s="3"/>
      <c r="K29" s="2">
        <v>-0.80295506854696608</v>
      </c>
      <c r="L29" s="7" t="s">
        <v>25</v>
      </c>
    </row>
    <row r="30" spans="1:12" x14ac:dyDescent="0.35">
      <c r="A30" t="s">
        <v>15</v>
      </c>
      <c r="B30" t="s">
        <v>22</v>
      </c>
      <c r="C30">
        <v>4</v>
      </c>
      <c r="D30" s="2">
        <v>0.45</v>
      </c>
      <c r="E30" s="2">
        <v>0.31091263510296052</v>
      </c>
      <c r="F30" s="2">
        <v>0.72499999999999998</v>
      </c>
      <c r="G30" s="2">
        <v>0.15</v>
      </c>
      <c r="H30" s="2">
        <v>-0.27500000000000002</v>
      </c>
      <c r="I30" s="2"/>
      <c r="J30" s="3"/>
      <c r="K30" s="2">
        <v>-1.240215946204668</v>
      </c>
      <c r="L30" s="7" t="s">
        <v>25</v>
      </c>
    </row>
    <row r="31" spans="1:12" x14ac:dyDescent="0.35">
      <c r="A31" t="s">
        <v>16</v>
      </c>
      <c r="B31" t="s">
        <v>22</v>
      </c>
      <c r="C31">
        <v>10</v>
      </c>
      <c r="D31" s="2">
        <v>0.53</v>
      </c>
      <c r="E31" s="2">
        <v>0.25407785333546012</v>
      </c>
      <c r="F31" s="2">
        <v>0.77</v>
      </c>
      <c r="G31" s="2">
        <v>0.18287822299126941</v>
      </c>
      <c r="H31" s="2">
        <v>-0.24</v>
      </c>
      <c r="I31" s="2">
        <v>-2.9793811989685239</v>
      </c>
      <c r="J31" s="3">
        <f>0.015</f>
        <v>1.4999999999999999E-2</v>
      </c>
      <c r="K31" s="2">
        <v>-0.94216306066238453</v>
      </c>
      <c r="L31" s="7" t="s">
        <v>25</v>
      </c>
    </row>
  </sheetData>
  <sortState xmlns:xlrd2="http://schemas.microsoft.com/office/spreadsheetml/2017/richdata2" ref="A2:L31">
    <sortCondition ref="B2:B31"/>
    <sortCondition ref="A2:A31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APA 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Christopher Luongo Vázquez</cp:lastModifiedBy>
  <dcterms:created xsi:type="dcterms:W3CDTF">2026-07-10T11:50:09Z</dcterms:created>
  <dcterms:modified xsi:type="dcterms:W3CDTF">2026-10-18T16:25:26Z</dcterms:modified>
</cp:coreProperties>
</file>